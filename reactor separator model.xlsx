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a4135369a8c026/Desktop/desktp/"/>
    </mc:Choice>
  </mc:AlternateContent>
  <xr:revisionPtr revIDLastSave="0" documentId="8_{F7634583-9EDD-4599-B55C-3F1864B213DA}" xr6:coauthVersionLast="47" xr6:coauthVersionMax="47" xr10:uidLastSave="{00000000-0000-0000-0000-000000000000}"/>
  <bookViews>
    <workbookView xWindow="11424" yWindow="0" windowWidth="11712" windowHeight="12336" xr2:uid="{4C0ED113-F0A5-40D7-BD75-6BAEB6CEF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6" i="1" s="1"/>
  <c r="B11" i="1"/>
  <c r="B17" i="1" s="1"/>
  <c r="B26" i="1" l="1"/>
  <c r="B18" i="1"/>
  <c r="B24" i="1" s="1"/>
  <c r="B13" i="1"/>
  <c r="B20" i="1"/>
  <c r="B21" i="1" s="1"/>
  <c r="B25" i="1" s="1"/>
</calcChain>
</file>

<file path=xl/sharedStrings.xml><?xml version="1.0" encoding="utf-8"?>
<sst xmlns="http://schemas.openxmlformats.org/spreadsheetml/2006/main" count="24" uniqueCount="24">
  <si>
    <t>Steady State Reactor and Separator Material Balance</t>
  </si>
  <si>
    <t>Feed of componenet A is converted to B in a reactor, followed by separation of product.</t>
  </si>
  <si>
    <t>Inputs</t>
  </si>
  <si>
    <t>Feed of A (kmol/h)</t>
  </si>
  <si>
    <t>Conversion(X)</t>
  </si>
  <si>
    <t>B Recovery (Separator)</t>
  </si>
  <si>
    <t>Reactor Outputs</t>
  </si>
  <si>
    <t>A out(kmol/h)</t>
  </si>
  <si>
    <t>B out(kmol/h)</t>
  </si>
  <si>
    <t>Total out</t>
  </si>
  <si>
    <t>Separator Outputs</t>
  </si>
  <si>
    <t>B to Product</t>
  </si>
  <si>
    <t>A to Product</t>
  </si>
  <si>
    <t>Total Product</t>
  </si>
  <si>
    <t xml:space="preserve">B to waste </t>
  </si>
  <si>
    <t>Total Waste</t>
  </si>
  <si>
    <t xml:space="preserve">Final Results </t>
  </si>
  <si>
    <t>Product Flow (kmol/h)</t>
  </si>
  <si>
    <t>Waste Flow (kmol/h)</t>
  </si>
  <si>
    <t>Product B (kmol/h)</t>
  </si>
  <si>
    <t>Assumptions made:</t>
  </si>
  <si>
    <t>a) Steady state operation</t>
  </si>
  <si>
    <t>b) Single reaction (A to B)</t>
  </si>
  <si>
    <t>c)Perfect separation efficiency applied to B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</si>
</sst>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8673-DD51-4C39-96A8-97490E300061}">
  <dimension ref="A1:G31"/>
  <sheetViews>
    <sheetView tabSelected="1" topLeftCell="A18" workbookViewId="0">
      <selection activeCell="B34" sqref="B34"/>
    </sheetView>
  </sheetViews>
  <sheetFormatPr defaultRowHeight="14.4" x14ac:dyDescent="0.3"/>
  <cols>
    <col min="1" max="1" width="19.33203125" customWidth="1"/>
    <col min="2" max="2" width="10.33203125" customWidth="1"/>
    <col min="3" max="3" width="13.109375" customWidth="1"/>
    <col min="4" max="4" width="10.88671875" customWidth="1"/>
  </cols>
  <sheetData>
    <row r="1" spans="1:7" ht="15.6" x14ac:dyDescent="0.3">
      <c r="A1" s="3" t="s">
        <v>0</v>
      </c>
      <c r="B1" s="3"/>
      <c r="C1" s="3"/>
      <c r="D1" s="3"/>
    </row>
    <row r="3" spans="1:7" x14ac:dyDescent="0.3">
      <c r="A3" s="1" t="s">
        <v>1</v>
      </c>
      <c r="B3" s="1"/>
      <c r="C3" s="1"/>
      <c r="D3" s="1"/>
      <c r="E3" s="1"/>
      <c r="F3" s="1"/>
      <c r="G3" s="1"/>
    </row>
    <row r="5" spans="1:7" x14ac:dyDescent="0.3">
      <c r="A5" s="4" t="s">
        <v>2</v>
      </c>
    </row>
    <row r="6" spans="1:7" x14ac:dyDescent="0.3">
      <c r="A6" t="s">
        <v>3</v>
      </c>
      <c r="B6">
        <v>100</v>
      </c>
    </row>
    <row r="7" spans="1:7" x14ac:dyDescent="0.3">
      <c r="A7" t="s">
        <v>4</v>
      </c>
      <c r="B7">
        <v>0.6</v>
      </c>
    </row>
    <row r="8" spans="1:7" x14ac:dyDescent="0.3">
      <c r="A8" t="s">
        <v>5</v>
      </c>
      <c r="B8">
        <v>0.9</v>
      </c>
    </row>
    <row r="10" spans="1:7" x14ac:dyDescent="0.3">
      <c r="A10" s="4" t="s">
        <v>6</v>
      </c>
    </row>
    <row r="11" spans="1:7" x14ac:dyDescent="0.3">
      <c r="A11" t="s">
        <v>7</v>
      </c>
      <c r="B11">
        <f>B6*(1-B7)</f>
        <v>40</v>
      </c>
    </row>
    <row r="12" spans="1:7" x14ac:dyDescent="0.3">
      <c r="A12" t="s">
        <v>8</v>
      </c>
      <c r="B12">
        <f>B6*B7</f>
        <v>60</v>
      </c>
    </row>
    <row r="13" spans="1:7" x14ac:dyDescent="0.3">
      <c r="A13" t="s">
        <v>9</v>
      </c>
      <c r="B13">
        <f>B11+B12</f>
        <v>100</v>
      </c>
    </row>
    <row r="15" spans="1:7" x14ac:dyDescent="0.3">
      <c r="A15" s="4" t="s">
        <v>10</v>
      </c>
    </row>
    <row r="16" spans="1:7" x14ac:dyDescent="0.3">
      <c r="A16" t="s">
        <v>11</v>
      </c>
      <c r="B16">
        <f>B12*B8</f>
        <v>54</v>
      </c>
    </row>
    <row r="17" spans="1:2" x14ac:dyDescent="0.3">
      <c r="A17" t="s">
        <v>12</v>
      </c>
      <c r="B17">
        <f>B11</f>
        <v>40</v>
      </c>
    </row>
    <row r="18" spans="1:2" x14ac:dyDescent="0.3">
      <c r="A18" t="s">
        <v>13</v>
      </c>
      <c r="B18">
        <f>B16+B17</f>
        <v>94</v>
      </c>
    </row>
    <row r="20" spans="1:2" x14ac:dyDescent="0.3">
      <c r="A20" t="s">
        <v>14</v>
      </c>
      <c r="B20">
        <f>B12*(1-B8)</f>
        <v>5.9999999999999982</v>
      </c>
    </row>
    <row r="21" spans="1:2" x14ac:dyDescent="0.3">
      <c r="A21" t="s">
        <v>15</v>
      </c>
      <c r="B21">
        <f>B20</f>
        <v>5.9999999999999982</v>
      </c>
    </row>
    <row r="22" spans="1:2" x14ac:dyDescent="0.3">
      <c r="B22" s="2"/>
    </row>
    <row r="23" spans="1:2" x14ac:dyDescent="0.3">
      <c r="A23" s="4" t="s">
        <v>16</v>
      </c>
    </row>
    <row r="24" spans="1:2" x14ac:dyDescent="0.3">
      <c r="A24" t="s">
        <v>17</v>
      </c>
      <c r="B24">
        <f>B18</f>
        <v>94</v>
      </c>
    </row>
    <row r="25" spans="1:2" x14ac:dyDescent="0.3">
      <c r="A25" t="s">
        <v>18</v>
      </c>
      <c r="B25">
        <f>B21</f>
        <v>5.9999999999999982</v>
      </c>
    </row>
    <row r="26" spans="1:2" x14ac:dyDescent="0.3">
      <c r="A26" t="s">
        <v>19</v>
      </c>
      <c r="B26">
        <f>B16</f>
        <v>54</v>
      </c>
    </row>
    <row r="28" spans="1:2" x14ac:dyDescent="0.3">
      <c r="A28" s="4" t="s">
        <v>20</v>
      </c>
    </row>
    <row r="29" spans="1:2" x14ac:dyDescent="0.3">
      <c r="A29" t="s">
        <v>21</v>
      </c>
    </row>
    <row r="30" spans="1:2" x14ac:dyDescent="0.3">
      <c r="A30" t="s">
        <v>22</v>
      </c>
    </row>
    <row r="31" spans="1:2" x14ac:dyDescent="0.3">
      <c r="A31" t="s">
        <v>23</v>
      </c>
    </row>
  </sheetData>
  <mergeCells count="2">
    <mergeCell ref="A1:D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Mukuku</dc:creator>
  <cp:lastModifiedBy>Yvonne Mukuku</cp:lastModifiedBy>
  <dcterms:created xsi:type="dcterms:W3CDTF">2026-03-29T15:01:58Z</dcterms:created>
  <dcterms:modified xsi:type="dcterms:W3CDTF">2026-04-08T08:57:21Z</dcterms:modified>
</cp:coreProperties>
</file>